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H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BE123C"/>
        <bgColor rgb="00BE12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3" borderId="0" pivotButton="0" quotePrefix="0" xfId="0"/>
    <xf numFmtId="2" fontId="0" fillId="3" borderId="0" pivotButton="0" quotePrefix="0" xfId="0"/>
    <xf numFmtId="9" fontId="0" fillId="3" borderId="0" pivotButton="0" quotePrefix="0" xfId="0"/>
    <xf numFmtId="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1" pivotButton="0" quotePrefix="0" xfId="0"/>
    <xf numFmtId="4" fontId="0" fillId="0" borderId="1" pivotButton="0" quotePrefix="0" xfId="0"/>
    <xf numFmtId="9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Payoff: Margem de Lucro com vs. sem Hedge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 Hedge'!D17</f>
            </strRef>
          </tx>
          <spPr>
            <a:ln xmlns:a="http://schemas.openxmlformats.org/drawingml/2006/main">
              <a:solidFill>
                <a:srgbClr val="BE12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 Hedge'!$A$18:$A$24</f>
            </numRef>
          </cat>
          <val>
            <numRef>
              <f>'Simulador Hedge'!$D$18:$D$24</f>
            </numRef>
          </val>
        </ser>
        <ser>
          <idx val="1"/>
          <order val="1"/>
          <tx>
            <strRef>
              <f>'Simulador Hedge'!E17</f>
            </strRef>
          </tx>
          <spPr>
            <a:ln xmlns:a="http://schemas.openxmlformats.org/drawingml/2006/main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'Simulador Hedge'!$E$18:$E$24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Câmbio no Vencimento (R$/USD)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Margem de Lucro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SIMULADOR DE HEDGE - FUTURO DE DÓLAR</t>
        </is>
      </c>
    </row>
    <row r="3">
      <c r="A3" s="2" t="inlineStr">
        <is>
          <t>DADOS DE ENTRADA</t>
        </is>
      </c>
    </row>
    <row r="4">
      <c r="A4" t="inlineStr">
        <is>
          <t>Exposição (USD):</t>
        </is>
      </c>
      <c r="B4" s="3" t="n">
        <v>100000</v>
      </c>
    </row>
    <row r="5">
      <c r="A5" t="inlineStr">
        <is>
          <t>Câmbio Atual (R$/USD):</t>
        </is>
      </c>
      <c r="B5" s="4" t="n">
        <v>5</v>
      </c>
    </row>
    <row r="6">
      <c r="A6" t="inlineStr">
        <is>
          <t>Câmbio Travado (Futuro):</t>
        </is>
      </c>
      <c r="B6" s="4" t="n">
        <v>5.05</v>
      </c>
    </row>
    <row r="7">
      <c r="A7" t="inlineStr">
        <is>
          <t>Custo de Produção (R$):</t>
        </is>
      </c>
      <c r="B7" s="3" t="n">
        <v>425000</v>
      </c>
    </row>
    <row r="8">
      <c r="A8" t="inlineStr">
        <is>
          <t>Margem Alvo (%):</t>
        </is>
      </c>
      <c r="B8" s="5" t="n">
        <v>0.15</v>
      </c>
    </row>
    <row r="10">
      <c r="A10" s="2" t="inlineStr">
        <is>
          <t>CÁLCULOS AUTOMÁTICOS</t>
        </is>
      </c>
    </row>
    <row r="11">
      <c r="A11" t="inlineStr">
        <is>
          <t>Receita Esperada (Câmbio Atual):</t>
        </is>
      </c>
      <c r="B11" s="6">
        <f>B4*B5</f>
        <v/>
      </c>
    </row>
    <row r="12">
      <c r="A12" t="inlineStr">
        <is>
          <t>Receita Travada (Com Futuro):</t>
        </is>
      </c>
      <c r="B12" s="6">
        <f>B4*B6</f>
        <v/>
      </c>
    </row>
    <row r="13">
      <c r="A13" t="inlineStr">
        <is>
          <t>Margem Esperada (sem hedge):</t>
        </is>
      </c>
      <c r="B13" s="6">
        <f>B11-B7</f>
        <v/>
      </c>
    </row>
    <row r="14">
      <c r="A14" t="inlineStr">
        <is>
          <t>Margem com Hedge (futuro):</t>
        </is>
      </c>
      <c r="B14" s="6">
        <f>B12-B7</f>
        <v/>
      </c>
    </row>
    <row r="16">
      <c r="A16" s="2" t="inlineStr">
        <is>
          <t>ANÁLISE DE CENÁRIOS</t>
        </is>
      </c>
    </row>
    <row r="17">
      <c r="A17" s="7" t="inlineStr">
        <is>
          <t>Câmbio no Vencimento</t>
        </is>
      </c>
      <c r="B17" s="7" t="inlineStr">
        <is>
          <t>Receita Real</t>
        </is>
      </c>
      <c r="C17" s="7" t="inlineStr">
        <is>
          <t>Resultado Futuro</t>
        </is>
      </c>
      <c r="D17" s="7" t="inlineStr">
        <is>
          <t>Margem SEM Hedge</t>
        </is>
      </c>
      <c r="E17" s="7" t="inlineStr">
        <is>
          <t>Margem COM Hedge</t>
        </is>
      </c>
    </row>
    <row r="18">
      <c r="A18" s="8" t="n">
        <v>4.5</v>
      </c>
      <c r="B18" s="9">
        <f>B4*A18</f>
        <v/>
      </c>
      <c r="C18" s="9">
        <f>(B6-A18)*B4</f>
        <v/>
      </c>
      <c r="D18" s="9">
        <f>B18-B7</f>
        <v/>
      </c>
      <c r="E18" s="9">
        <f>B18+C18-B7</f>
        <v/>
      </c>
    </row>
    <row r="19">
      <c r="A19" s="8" t="n">
        <v>4.7</v>
      </c>
      <c r="B19" s="9">
        <f>B4*A19</f>
        <v/>
      </c>
      <c r="C19" s="9">
        <f>(B6-A19)*B4</f>
        <v/>
      </c>
      <c r="D19" s="9">
        <f>B19-B7</f>
        <v/>
      </c>
      <c r="E19" s="9">
        <f>B19+C19-B7</f>
        <v/>
      </c>
    </row>
    <row r="20">
      <c r="A20" s="8" t="n">
        <v>4.9</v>
      </c>
      <c r="B20" s="9">
        <f>B4*A20</f>
        <v/>
      </c>
      <c r="C20" s="9">
        <f>(B6-A20)*B4</f>
        <v/>
      </c>
      <c r="D20" s="9">
        <f>B20-B7</f>
        <v/>
      </c>
      <c r="E20" s="9">
        <f>B20+C20-B7</f>
        <v/>
      </c>
    </row>
    <row r="21">
      <c r="A21" s="8" t="n">
        <v>5</v>
      </c>
      <c r="B21" s="9">
        <f>B4*A21</f>
        <v/>
      </c>
      <c r="C21" s="9">
        <f>(B6-A21)*B4</f>
        <v/>
      </c>
      <c r="D21" s="9">
        <f>B21-B7</f>
        <v/>
      </c>
      <c r="E21" s="9">
        <f>B21+C21-B7</f>
        <v/>
      </c>
    </row>
    <row r="22">
      <c r="A22" s="8" t="n">
        <v>5.1</v>
      </c>
      <c r="B22" s="9">
        <f>B4*A22</f>
        <v/>
      </c>
      <c r="C22" s="9">
        <f>(B6-A22)*B4</f>
        <v/>
      </c>
      <c r="D22" s="9">
        <f>B22-B7</f>
        <v/>
      </c>
      <c r="E22" s="9">
        <f>B22+C22-B7</f>
        <v/>
      </c>
    </row>
    <row r="23">
      <c r="A23" s="8" t="n">
        <v>5.3</v>
      </c>
      <c r="B23" s="9">
        <f>B4*A23</f>
        <v/>
      </c>
      <c r="C23" s="9">
        <f>(B6-A23)*B4</f>
        <v/>
      </c>
      <c r="D23" s="9">
        <f>B23-B7</f>
        <v/>
      </c>
      <c r="E23" s="9">
        <f>B23+C23-B7</f>
        <v/>
      </c>
    </row>
    <row r="24">
      <c r="A24" s="8" t="n">
        <v>5.5</v>
      </c>
      <c r="B24" s="9">
        <f>B4*A24</f>
        <v/>
      </c>
      <c r="C24" s="9">
        <f>(B6-A24)*B4</f>
        <v/>
      </c>
      <c r="D24" s="9">
        <f>B24-B7</f>
        <v/>
      </c>
      <c r="E24" s="9">
        <f>B24+C24-B7</f>
        <v/>
      </c>
    </row>
    <row r="26">
      <c r="A26" s="2" t="inlineStr">
        <is>
          <t>RESUMO DA PROTEÇÃO</t>
        </is>
      </c>
    </row>
    <row r="27">
      <c r="A27" t="inlineStr">
        <is>
          <t>Cenário Mais Otimista (Dólar Sobe):</t>
        </is>
      </c>
      <c r="B27" s="6">
        <f>MAX(D18:D24)</f>
        <v/>
      </c>
    </row>
    <row r="28">
      <c r="A28" t="inlineStr">
        <is>
          <t>Cenário Mais Pessimista (Dólar Cai):</t>
        </is>
      </c>
      <c r="B28" s="6">
        <f>MIN(D18:D24)</f>
        <v/>
      </c>
    </row>
    <row r="29">
      <c r="A29" t="inlineStr">
        <is>
          <t>Volatilidade SEM Hedge (Desvio Padrão):</t>
        </is>
      </c>
      <c r="B29" s="6">
        <f>STDEV(D18:D24)</f>
        <v/>
      </c>
    </row>
    <row r="30">
      <c r="A30" t="inlineStr">
        <is>
          <t>Volatilidade COM Hedge (Desvio Padrão):</t>
        </is>
      </c>
      <c r="B30" s="6">
        <f>STDEV(E18:E24)</f>
        <v/>
      </c>
    </row>
    <row r="31">
      <c r="A31" t="inlineStr">
        <is>
          <t>Redução de Volatilidade:</t>
        </is>
      </c>
      <c r="B31" s="10">
        <f>(B29-B30)/B29</f>
        <v/>
      </c>
    </row>
  </sheetData>
  <mergeCells count="5">
    <mergeCell ref="A26:B26"/>
    <mergeCell ref="A16:E16"/>
    <mergeCell ref="A10:B10"/>
    <mergeCell ref="A1:E1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2026-04-24T20:27:47Z</dcterms:created>
  <dcterms:modified xmlns:dcterms="http://purl.org/dc/terms/" xmlns:xsi="http://www.w3.org/2001/XMLSchema-instance" xsi:type="dcterms:W3CDTF">2026-04-24T20:27:47Z</dcterms:modified>
</cp:coreProperties>
</file>